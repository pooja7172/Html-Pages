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hrea\Documents\"/>
    </mc:Choice>
  </mc:AlternateContent>
  <xr:revisionPtr revIDLastSave="0" documentId="8_{67AF1D83-6D53-4A8E-8287-402BD4758DE3}" xr6:coauthVersionLast="47" xr6:coauthVersionMax="47" xr10:uidLastSave="{00000000-0000-0000-0000-000000000000}"/>
  <bookViews>
    <workbookView xWindow="-108" yWindow="-108" windowWidth="23256" windowHeight="12456" activeTab="3" xr2:uid="{B4FEF0A6-7DB5-4366-85D1-87EAD00E011A}"/>
  </bookViews>
  <sheets>
    <sheet name="Dataset-day 1" sheetId="1" r:id="rId1"/>
    <sheet name="Removed duplicates-day 2" sheetId="2" r:id="rId2"/>
    <sheet name="Conditional formatting-day 3" sheetId="4" r:id="rId3"/>
    <sheet name="Pivot table-day 4" sheetId="6" r:id="rId4"/>
  </sheets>
  <definedNames>
    <definedName name="NativeTimeline_Date">#N/A</definedName>
    <definedName name="Slicer_City">#N/A</definedName>
    <definedName name="Slicer_Rating">#N/A</definedName>
    <definedName name="Slicer_Restaura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4" l="1"/>
  <c r="J9" i="4"/>
</calcChain>
</file>

<file path=xl/sharedStrings.xml><?xml version="1.0" encoding="utf-8"?>
<sst xmlns="http://schemas.openxmlformats.org/spreadsheetml/2006/main" count="133" uniqueCount="25">
  <si>
    <t>Order_ID</t>
  </si>
  <si>
    <t>City</t>
  </si>
  <si>
    <t>Restaurant</t>
  </si>
  <si>
    <t>Order_Value</t>
  </si>
  <si>
    <t>Delivery_Time_Min</t>
  </si>
  <si>
    <t>Rating</t>
  </si>
  <si>
    <t>Chennai</t>
  </si>
  <si>
    <t>A</t>
  </si>
  <si>
    <t>Bangalore</t>
  </si>
  <si>
    <t>B</t>
  </si>
  <si>
    <t>C</t>
  </si>
  <si>
    <t>Hyderabad</t>
  </si>
  <si>
    <t>Mumbai</t>
  </si>
  <si>
    <t>vlookup-&gt;</t>
  </si>
  <si>
    <t>hlookup-&gt;</t>
  </si>
  <si>
    <t>Sum of Order_ID</t>
  </si>
  <si>
    <t>Row Labels</t>
  </si>
  <si>
    <t>Grand Total</t>
  </si>
  <si>
    <t>Sum of Order_Value</t>
  </si>
  <si>
    <t>Sum of Delivery_Time_Min</t>
  </si>
  <si>
    <t>Sum of Rating</t>
  </si>
  <si>
    <t>Jan</t>
  </si>
  <si>
    <t>Feb</t>
  </si>
  <si>
    <t>(blank)</t>
  </si>
  <si>
    <t>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</si>
</sst>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color theme="1"/>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2">
    <xf numFmtId="0" fontId="0" fillId="0" borderId="0" xfId="0"/>
    <xf numFmtId="0" fontId="5" fillId="0" borderId="0" xfId="6"/>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5" fillId="0" borderId="0" xfId="6" applyAlignment="1">
      <alignment horizontal="center"/>
    </xf>
    <xf numFmtId="0" fontId="16" fillId="0" borderId="0" xfId="6" applyFont="1" applyAlignment="1">
      <alignment horizontal="center"/>
    </xf>
    <xf numFmtId="0" fontId="18" fillId="0" borderId="0" xfId="0" applyFont="1"/>
    <xf numFmtId="0" fontId="19" fillId="0" borderId="0" xfId="0" applyFont="1"/>
    <xf numFmtId="0" fontId="0" fillId="0" borderId="0" xfId="0" applyAlignment="1">
      <alignment horizontal="center"/>
    </xf>
    <xf numFmtId="0" fontId="0" fillId="0" borderId="0" xfId="0" applyNumberFormat="1"/>
  </cellXfs>
  <cellStyles count="43">
    <cellStyle name="20% - Accent1 2" xfId="20" xr:uid="{A70646C3-5AA3-4EA1-B3D5-39B698D705FC}"/>
    <cellStyle name="20% - Accent2 2" xfId="24" xr:uid="{82C01FED-B0C9-4126-9783-5C978CEA72C8}"/>
    <cellStyle name="20% - Accent3 2" xfId="28" xr:uid="{C127D026-F31E-405D-91E7-92BA4EE37C0B}"/>
    <cellStyle name="20% - Accent4 2" xfId="32" xr:uid="{380796D5-ADDF-461B-89E1-413729252A4E}"/>
    <cellStyle name="20% - Accent5 2" xfId="36" xr:uid="{CF30F7F0-07A6-4DBD-92F5-B7F4ED350400}"/>
    <cellStyle name="20% - Accent6 2" xfId="40" xr:uid="{6403AD02-1340-412D-AFA3-E087CD0B259B}"/>
    <cellStyle name="40% - Accent1 2" xfId="21" xr:uid="{0E06A904-268C-43B2-9B13-99337B94EE10}"/>
    <cellStyle name="40% - Accent2 2" xfId="25" xr:uid="{6157A3F0-6530-4230-82CC-91FDB3680159}"/>
    <cellStyle name="40% - Accent3 2" xfId="29" xr:uid="{DD728772-12BE-446A-A6E2-64092502FE0F}"/>
    <cellStyle name="40% - Accent4 2" xfId="33" xr:uid="{B27FBF36-67D8-443B-84AC-354C7EC2C3ED}"/>
    <cellStyle name="40% - Accent5 2" xfId="37" xr:uid="{8857D8D0-54BC-4D07-94B0-09F525E19D1A}"/>
    <cellStyle name="40% - Accent6 2" xfId="41" xr:uid="{279453B9-AA0F-43AD-A314-D399C7AA3AF4}"/>
    <cellStyle name="60% - Accent1 2" xfId="22" xr:uid="{E9FD4210-7722-4DEA-872A-72BB82EB455A}"/>
    <cellStyle name="60% - Accent2 2" xfId="26" xr:uid="{1FC720AB-AB34-40C5-B6F2-1B190166076B}"/>
    <cellStyle name="60% - Accent3 2" xfId="30" xr:uid="{4AED9634-7D86-4528-A595-5E93CE6B9709}"/>
    <cellStyle name="60% - Accent4 2" xfId="34" xr:uid="{6016C981-B731-493A-8262-5A6437898643}"/>
    <cellStyle name="60% - Accent5 2" xfId="38" xr:uid="{C21914BB-4CB4-4A67-ABCC-D7A9A39EA5F2}"/>
    <cellStyle name="60% - Accent6 2" xfId="42" xr:uid="{207FBAE8-E83B-4344-8450-BED33DCCBD8D}"/>
    <cellStyle name="Accent1 2" xfId="19" xr:uid="{D017FC26-42AC-46E5-97A9-0F7A112C4695}"/>
    <cellStyle name="Accent2 2" xfId="23" xr:uid="{6A4BED4D-AFAA-4D84-B519-FA48AA590665}"/>
    <cellStyle name="Accent3 2" xfId="27" xr:uid="{23027165-9934-4724-98B3-BCEF6A99C698}"/>
    <cellStyle name="Accent4 2" xfId="31" xr:uid="{C1290A88-1CB8-4D49-8EF6-7240A1B01327}"/>
    <cellStyle name="Accent5 2" xfId="35" xr:uid="{E8291B14-7A85-402A-88A2-6F4ADD66D60B}"/>
    <cellStyle name="Accent6 2" xfId="39" xr:uid="{93A302DE-E77B-4879-86C5-91B9EE434498}"/>
    <cellStyle name="Bad 2" xfId="8" xr:uid="{CB6641E6-43B9-4662-A3C6-729795F448B7}"/>
    <cellStyle name="Calculation 2" xfId="12" xr:uid="{CBEA93A9-B274-41D1-BE47-10E4341B4EC6}"/>
    <cellStyle name="Check Cell 2" xfId="14" xr:uid="{E6FCE985-E13B-4698-BF27-E4295E28CFC5}"/>
    <cellStyle name="Explanatory Text 2" xfId="17" xr:uid="{01107B5B-99FD-4526-AE11-2411F3DFE14F}"/>
    <cellStyle name="Good 2" xfId="7" xr:uid="{AB75AD27-8BA8-484A-97FC-7FDD96FE208F}"/>
    <cellStyle name="Heading 1" xfId="2" builtinId="16" customBuiltin="1"/>
    <cellStyle name="Heading 2" xfId="3" builtinId="17" customBuiltin="1"/>
    <cellStyle name="Heading 3" xfId="4" builtinId="18" customBuiltin="1"/>
    <cellStyle name="Heading 4" xfId="5" builtinId="19" customBuiltin="1"/>
    <cellStyle name="Input 2" xfId="10" xr:uid="{1F57E256-B0C6-42AC-B147-7B3FD0666212}"/>
    <cellStyle name="Linked Cell 2" xfId="13" xr:uid="{F4EF6F66-3CFE-46CC-B9FD-4372321B8984}"/>
    <cellStyle name="Neutral 2" xfId="9" xr:uid="{64D2960D-C4F1-400A-B031-978926183088}"/>
    <cellStyle name="Normal" xfId="0" builtinId="0"/>
    <cellStyle name="Normal 2" xfId="6" xr:uid="{17FFD08C-1BE2-46C6-8209-0106EC69C967}"/>
    <cellStyle name="Note 2" xfId="16" xr:uid="{06D3F6BB-AADC-43C9-9585-BE5804B2D94C}"/>
    <cellStyle name="Output 2" xfId="11" xr:uid="{1B4607D3-3691-44FE-902C-11B2AE7CFB75}"/>
    <cellStyle name="Title" xfId="1" builtinId="15" customBuiltin="1"/>
    <cellStyle name="Total 2" xfId="18" xr:uid="{F6896161-5850-491D-9386-F8FE8C09DC65}"/>
    <cellStyle name="Warning Text 2" xfId="15" xr:uid="{26FE48DD-25DB-42CF-A5BA-7421CC9B684D}"/>
  </cellStyles>
  <dxfs count="4">
    <dxf>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[Food_delivery1.xlsx]Pivot table-day 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table-day 4'!$B$3</c:f>
              <c:strCache>
                <c:ptCount val="1"/>
                <c:pt idx="0">
                  <c:v>Sum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F9-4976-B6A0-7F787DA9A03E}"/>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'Pivot table-day 4'!$A$4:$A$20</c:f>
              <c:multiLvlStrCache>
                <c:ptCount val="11"/>
                <c:lvl>
                  <c:pt idx="0">
                    <c:v>A</c:v>
                  </c:pt>
                  <c:pt idx="1">
                    <c:v>B</c:v>
                  </c:pt>
                  <c:pt idx="2">
                    <c:v>C</c:v>
                  </c:pt>
                  <c:pt idx="3">
                    <c:v>A</c:v>
                  </c:pt>
                  <c:pt idx="4">
                    <c:v>B</c:v>
                  </c:pt>
                  <c:pt idx="5">
                    <c:v>C</c:v>
                  </c:pt>
                  <c:pt idx="6">
                    <c:v>A</c:v>
                  </c:pt>
                  <c:pt idx="7">
                    <c:v>C</c:v>
                  </c:pt>
                  <c:pt idx="8">
                    <c:v>A</c:v>
                  </c:pt>
                  <c:pt idx="9">
                    <c:v>B</c:v>
                  </c:pt>
                  <c:pt idx="10">
                    <c:v>(blank)</c:v>
                  </c:pt>
                </c:lvl>
                <c:lvl>
                  <c:pt idx="0">
                    <c:v>Bangalore</c:v>
                  </c:pt>
                  <c:pt idx="3">
                    <c:v>Chennai</c:v>
                  </c:pt>
                  <c:pt idx="6">
                    <c:v>Hyderabad</c:v>
                  </c:pt>
                  <c:pt idx="8">
                    <c:v>Mumbai</c:v>
                  </c:pt>
                  <c:pt idx="10">
                    <c:v>(blank)</c:v>
                  </c:pt>
                </c:lvl>
              </c:multiLvlStrCache>
            </c:multiLvlStrRef>
          </c:cat>
          <c:val>
            <c:numRef>
              <c:f>'Pivot table-day 4'!$B$4:$B$20</c:f>
              <c:numCache>
                <c:formatCode>General</c:formatCode>
                <c:ptCount val="11"/>
                <c:pt idx="0">
                  <c:v>9010</c:v>
                </c:pt>
                <c:pt idx="1">
                  <c:v>9002</c:v>
                </c:pt>
                <c:pt idx="2">
                  <c:v>9006</c:v>
                </c:pt>
                <c:pt idx="3">
                  <c:v>9001</c:v>
                </c:pt>
                <c:pt idx="4">
                  <c:v>9008</c:v>
                </c:pt>
                <c:pt idx="5">
                  <c:v>9003</c:v>
                </c:pt>
                <c:pt idx="6">
                  <c:v>9004</c:v>
                </c:pt>
                <c:pt idx="7">
                  <c:v>9009</c:v>
                </c:pt>
                <c:pt idx="8">
                  <c:v>9007</c:v>
                </c:pt>
                <c:pt idx="9">
                  <c:v>9005</c:v>
                </c:pt>
              </c:numCache>
            </c:numRef>
          </c:val>
          <c:extLst>
            <c:ext xmlns:c16="http://schemas.microsoft.com/office/drawing/2014/chart" uri="{C3380CC4-5D6E-409C-BE32-E72D297353CC}">
              <c16:uniqueId val="{00000000-688E-4BED-AE62-038004A49B03}"/>
            </c:ext>
          </c:extLst>
        </c:ser>
        <c:ser>
          <c:idx val="1"/>
          <c:order val="1"/>
          <c:tx>
            <c:strRef>
              <c:f>'Pivot table-day 4'!$C$3</c:f>
              <c:strCache>
                <c:ptCount val="1"/>
                <c:pt idx="0">
                  <c:v>Sum of Order_Value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6F9-4976-B6A0-7F787DA9A03E}"/>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'Pivot table-day 4'!$A$4:$A$20</c:f>
              <c:multiLvlStrCache>
                <c:ptCount val="11"/>
                <c:lvl>
                  <c:pt idx="0">
                    <c:v>A</c:v>
                  </c:pt>
                  <c:pt idx="1">
                    <c:v>B</c:v>
                  </c:pt>
                  <c:pt idx="2">
                    <c:v>C</c:v>
                  </c:pt>
                  <c:pt idx="3">
                    <c:v>A</c:v>
                  </c:pt>
                  <c:pt idx="4">
                    <c:v>B</c:v>
                  </c:pt>
                  <c:pt idx="5">
                    <c:v>C</c:v>
                  </c:pt>
                  <c:pt idx="6">
                    <c:v>A</c:v>
                  </c:pt>
                  <c:pt idx="7">
                    <c:v>C</c:v>
                  </c:pt>
                  <c:pt idx="8">
                    <c:v>A</c:v>
                  </c:pt>
                  <c:pt idx="9">
                    <c:v>B</c:v>
                  </c:pt>
                  <c:pt idx="10">
                    <c:v>(blank)</c:v>
                  </c:pt>
                </c:lvl>
                <c:lvl>
                  <c:pt idx="0">
                    <c:v>Bangalore</c:v>
                  </c:pt>
                  <c:pt idx="3">
                    <c:v>Chennai</c:v>
                  </c:pt>
                  <c:pt idx="6">
                    <c:v>Hyderabad</c:v>
                  </c:pt>
                  <c:pt idx="8">
                    <c:v>Mumbai</c:v>
                  </c:pt>
                  <c:pt idx="10">
                    <c:v>(blank)</c:v>
                  </c:pt>
                </c:lvl>
              </c:multiLvlStrCache>
            </c:multiLvlStrRef>
          </c:cat>
          <c:val>
            <c:numRef>
              <c:f>'Pivot table-day 4'!$C$4:$C$20</c:f>
              <c:numCache>
                <c:formatCode>General</c:formatCode>
                <c:ptCount val="11"/>
                <c:pt idx="0">
                  <c:v>360</c:v>
                </c:pt>
                <c:pt idx="1">
                  <c:v>420</c:v>
                </c:pt>
                <c:pt idx="2">
                  <c:v>300</c:v>
                </c:pt>
                <c:pt idx="3">
                  <c:v>350</c:v>
                </c:pt>
                <c:pt idx="4">
                  <c:v>390</c:v>
                </c:pt>
                <c:pt idx="5">
                  <c:v>280</c:v>
                </c:pt>
                <c:pt idx="6">
                  <c:v>500</c:v>
                </c:pt>
                <c:pt idx="7">
                  <c:v>410</c:v>
                </c:pt>
                <c:pt idx="8">
                  <c:v>520</c:v>
                </c:pt>
                <c:pt idx="9">
                  <c:v>450</c:v>
                </c:pt>
              </c:numCache>
            </c:numRef>
          </c:val>
          <c:extLst>
            <c:ext xmlns:c16="http://schemas.microsoft.com/office/drawing/2014/chart" uri="{C3380CC4-5D6E-409C-BE32-E72D297353CC}">
              <c16:uniqueId val="{00000001-688E-4BED-AE62-038004A49B03}"/>
            </c:ext>
          </c:extLst>
        </c:ser>
        <c:ser>
          <c:idx val="2"/>
          <c:order val="2"/>
          <c:tx>
            <c:strRef>
              <c:f>'Pivot table-day 4'!$D$3</c:f>
              <c:strCache>
                <c:ptCount val="1"/>
                <c:pt idx="0">
                  <c:v>Sum of Delivery_Time_Min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6F9-4976-B6A0-7F787DA9A03E}"/>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'Pivot table-day 4'!$A$4:$A$20</c:f>
              <c:multiLvlStrCache>
                <c:ptCount val="11"/>
                <c:lvl>
                  <c:pt idx="0">
                    <c:v>A</c:v>
                  </c:pt>
                  <c:pt idx="1">
                    <c:v>B</c:v>
                  </c:pt>
                  <c:pt idx="2">
                    <c:v>C</c:v>
                  </c:pt>
                  <c:pt idx="3">
                    <c:v>A</c:v>
                  </c:pt>
                  <c:pt idx="4">
                    <c:v>B</c:v>
                  </c:pt>
                  <c:pt idx="5">
                    <c:v>C</c:v>
                  </c:pt>
                  <c:pt idx="6">
                    <c:v>A</c:v>
                  </c:pt>
                  <c:pt idx="7">
                    <c:v>C</c:v>
                  </c:pt>
                  <c:pt idx="8">
                    <c:v>A</c:v>
                  </c:pt>
                  <c:pt idx="9">
                    <c:v>B</c:v>
                  </c:pt>
                  <c:pt idx="10">
                    <c:v>(blank)</c:v>
                  </c:pt>
                </c:lvl>
                <c:lvl>
                  <c:pt idx="0">
                    <c:v>Bangalore</c:v>
                  </c:pt>
                  <c:pt idx="3">
                    <c:v>Chennai</c:v>
                  </c:pt>
                  <c:pt idx="6">
                    <c:v>Hyderabad</c:v>
                  </c:pt>
                  <c:pt idx="8">
                    <c:v>Mumbai</c:v>
                  </c:pt>
                  <c:pt idx="10">
                    <c:v>(blank)</c:v>
                  </c:pt>
                </c:lvl>
              </c:multiLvlStrCache>
            </c:multiLvlStrRef>
          </c:cat>
          <c:val>
            <c:numRef>
              <c:f>'Pivot table-day 4'!$D$4:$D$20</c:f>
              <c:numCache>
                <c:formatCode>General</c:formatCode>
                <c:ptCount val="11"/>
                <c:pt idx="0">
                  <c:v>29</c:v>
                </c:pt>
                <c:pt idx="1">
                  <c:v>40</c:v>
                </c:pt>
                <c:pt idx="2">
                  <c:v>25</c:v>
                </c:pt>
                <c:pt idx="3">
                  <c:v>30</c:v>
                </c:pt>
                <c:pt idx="4">
                  <c:v>32</c:v>
                </c:pt>
                <c:pt idx="5">
                  <c:v>28</c:v>
                </c:pt>
                <c:pt idx="6">
                  <c:v>45</c:v>
                </c:pt>
                <c:pt idx="7">
                  <c:v>38</c:v>
                </c:pt>
                <c:pt idx="8">
                  <c:v>50</c:v>
                </c:pt>
                <c:pt idx="9">
                  <c:v>35</c:v>
                </c:pt>
              </c:numCache>
            </c:numRef>
          </c:val>
          <c:extLst>
            <c:ext xmlns:c16="http://schemas.microsoft.com/office/drawing/2014/chart" uri="{C3380CC4-5D6E-409C-BE32-E72D297353CC}">
              <c16:uniqueId val="{00000002-688E-4BED-AE62-038004A49B03}"/>
            </c:ext>
          </c:extLst>
        </c:ser>
        <c:ser>
          <c:idx val="3"/>
          <c:order val="3"/>
          <c:tx>
            <c:strRef>
              <c:f>'Pivot table-day 4'!$E$3</c:f>
              <c:strCache>
                <c:ptCount val="1"/>
                <c:pt idx="0">
                  <c:v>Sum of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6F9-4976-B6A0-7F787DA9A03E}"/>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'Pivot table-day 4'!$A$4:$A$20</c:f>
              <c:multiLvlStrCache>
                <c:ptCount val="11"/>
                <c:lvl>
                  <c:pt idx="0">
                    <c:v>A</c:v>
                  </c:pt>
                  <c:pt idx="1">
                    <c:v>B</c:v>
                  </c:pt>
                  <c:pt idx="2">
                    <c:v>C</c:v>
                  </c:pt>
                  <c:pt idx="3">
                    <c:v>A</c:v>
                  </c:pt>
                  <c:pt idx="4">
                    <c:v>B</c:v>
                  </c:pt>
                  <c:pt idx="5">
                    <c:v>C</c:v>
                  </c:pt>
                  <c:pt idx="6">
                    <c:v>A</c:v>
                  </c:pt>
                  <c:pt idx="7">
                    <c:v>C</c:v>
                  </c:pt>
                  <c:pt idx="8">
                    <c:v>A</c:v>
                  </c:pt>
                  <c:pt idx="9">
                    <c:v>B</c:v>
                  </c:pt>
                  <c:pt idx="10">
                    <c:v>(blank)</c:v>
                  </c:pt>
                </c:lvl>
                <c:lvl>
                  <c:pt idx="0">
                    <c:v>Bangalore</c:v>
                  </c:pt>
                  <c:pt idx="3">
                    <c:v>Chennai</c:v>
                  </c:pt>
                  <c:pt idx="6">
                    <c:v>Hyderabad</c:v>
                  </c:pt>
                  <c:pt idx="8">
                    <c:v>Mumbai</c:v>
                  </c:pt>
                  <c:pt idx="10">
                    <c:v>(blank)</c:v>
                  </c:pt>
                </c:lvl>
              </c:multiLvlStrCache>
            </c:multiLvlStrRef>
          </c:cat>
          <c:val>
            <c:numRef>
              <c:f>'Pivot table-day 4'!$E$4:$E$20</c:f>
              <c:numCache>
                <c:formatCode>General</c:formatCode>
                <c:ptCount val="11"/>
                <c:pt idx="0">
                  <c:v>4.4000000000000004</c:v>
                </c:pt>
                <c:pt idx="1">
                  <c:v>4</c:v>
                </c:pt>
                <c:pt idx="2">
                  <c:v>4.5999999999999996</c:v>
                </c:pt>
                <c:pt idx="3">
                  <c:v>4.2</c:v>
                </c:pt>
                <c:pt idx="4">
                  <c:v>4.3</c:v>
                </c:pt>
                <c:pt idx="5">
                  <c:v>4.5</c:v>
                </c:pt>
                <c:pt idx="6">
                  <c:v>3.8</c:v>
                </c:pt>
                <c:pt idx="7">
                  <c:v>3.9</c:v>
                </c:pt>
                <c:pt idx="8">
                  <c:v>3.5</c:v>
                </c:pt>
                <c:pt idx="9">
                  <c:v>4.0999999999999996</c:v>
                </c:pt>
              </c:numCache>
            </c:numRef>
          </c:val>
          <c:extLst>
            <c:ext xmlns:c16="http://schemas.microsoft.com/office/drawing/2014/chart" uri="{C3380CC4-5D6E-409C-BE32-E72D297353CC}">
              <c16:uniqueId val="{00000003-688E-4BED-AE62-038004A49B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857945</xdr:colOff>
      <xdr:row>24</xdr:row>
      <xdr:rowOff>10685</xdr:rowOff>
    </xdr:from>
    <xdr:to>
      <xdr:col>4</xdr:col>
      <xdr:colOff>814590</xdr:colOff>
      <xdr:row>39</xdr:row>
      <xdr:rowOff>10686</xdr:rowOff>
    </xdr:to>
    <xdr:graphicFrame macro="">
      <xdr:nvGraphicFramePr>
        <xdr:cNvPr id="2" name="Chart 1">
          <a:extLst>
            <a:ext uri="{FF2B5EF4-FFF2-40B4-BE49-F238E27FC236}">
              <a16:creationId xmlns:a16="http://schemas.microsoft.com/office/drawing/2014/main" id="{7D746D53-4B18-D56B-28F4-638024D70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39512</xdr:colOff>
      <xdr:row>0</xdr:row>
      <xdr:rowOff>158044</xdr:rowOff>
    </xdr:from>
    <xdr:to>
      <xdr:col>17</xdr:col>
      <xdr:colOff>47979</xdr:colOff>
      <xdr:row>14</xdr:row>
      <xdr:rowOff>171097</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A474E998-7DBC-C2E1-31F5-A0D77EAF46D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455401" y="15804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237350</xdr:colOff>
      <xdr:row>0</xdr:row>
      <xdr:rowOff>108937</xdr:rowOff>
    </xdr:from>
    <xdr:to>
      <xdr:col>8</xdr:col>
      <xdr:colOff>852594</xdr:colOff>
      <xdr:row>14</xdr:row>
      <xdr:rowOff>121990</xdr:rowOff>
    </xdr:to>
    <mc:AlternateContent xmlns:mc="http://schemas.openxmlformats.org/markup-compatibility/2006" xmlns:a14="http://schemas.microsoft.com/office/drawing/2010/main">
      <mc:Choice Requires="a14">
        <xdr:graphicFrame macro="">
          <xdr:nvGraphicFramePr>
            <xdr:cNvPr id="4" name="Restaurant">
              <a:extLst>
                <a:ext uri="{FF2B5EF4-FFF2-40B4-BE49-F238E27FC236}">
                  <a16:creationId xmlns:a16="http://schemas.microsoft.com/office/drawing/2014/main" id="{F2F00D2D-A078-254C-535A-7E342E7946C5}"/>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6460350" y="10893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25965</xdr:colOff>
      <xdr:row>0</xdr:row>
      <xdr:rowOff>162278</xdr:rowOff>
    </xdr:from>
    <xdr:to>
      <xdr:col>13</xdr:col>
      <xdr:colOff>34432</xdr:colOff>
      <xdr:row>14</xdr:row>
      <xdr:rowOff>175331</xdr:rowOff>
    </xdr:to>
    <mc:AlternateContent xmlns:mc="http://schemas.openxmlformats.org/markup-compatibility/2006">
      <mc:Choice xmlns:a14="http://schemas.microsoft.com/office/drawing/2010/main" Requires="a14">
        <xdr:graphicFrame macro="">
          <xdr:nvGraphicFramePr>
            <xdr:cNvPr id="5" name="Rating">
              <a:extLst>
                <a:ext uri="{FF2B5EF4-FFF2-40B4-BE49-F238E27FC236}">
                  <a16:creationId xmlns:a16="http://schemas.microsoft.com/office/drawing/2014/main" id="{A45841F9-249B-3019-9FA9-49B29A915627}"/>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9014743" y="16227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56</xdr:row>
      <xdr:rowOff>0</xdr:rowOff>
    </xdr:from>
    <xdr:to>
      <xdr:col>11</xdr:col>
      <xdr:colOff>571782</xdr:colOff>
      <xdr:row>63</xdr:row>
      <xdr:rowOff>87489</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E38BCE7F-19B6-4B45-AC39-3F1A4E801F4D}"/>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829778" y="10315222"/>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hrea/Desktop/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threa/Desktop/datase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reaka M" refreshedDate="46063.56808391204" createdVersion="8" refreshedVersion="8" minRefreshableVersion="3" recordCount="12" xr:uid="{34F10257-097F-450B-B4F1-DEABC1F91960}">
  <cacheSource type="worksheet">
    <worksheetSource ref="A3:F16" sheet="Sheet5" r:id="rId2"/>
  </cacheSource>
  <cacheFields count="6">
    <cacheField name="Order_ID" numFmtId="0">
      <sharedItems containsString="0" containsBlank="1" containsNumber="1" containsInteger="1" minValue="9001" maxValue="9010"/>
    </cacheField>
    <cacheField name="City" numFmtId="0">
      <sharedItems containsBlank="1" count="5">
        <s v="Chennai"/>
        <s v="Bangalore"/>
        <s v="Hyderabad"/>
        <s v="Mumbai"/>
        <m/>
      </sharedItems>
    </cacheField>
    <cacheField name="Restaurant" numFmtId="0">
      <sharedItems containsBlank="1" count="4">
        <s v="A"/>
        <s v="B"/>
        <s v="C"/>
        <m/>
      </sharedItems>
    </cacheField>
    <cacheField name="Order_Value" numFmtId="0">
      <sharedItems containsString="0" containsBlank="1" containsNumber="1" containsInteger="1" minValue="280" maxValue="520"/>
    </cacheField>
    <cacheField name="Delivery_Time_Min" numFmtId="0">
      <sharedItems containsString="0" containsBlank="1" containsNumber="1" containsInteger="1" minValue="25" maxValue="50"/>
    </cacheField>
    <cacheField name="Rating" numFmtId="0">
      <sharedItems containsString="0" containsBlank="1" containsNumber="1" minValue="3.5" maxValue="4.5999999999999996" count="11">
        <n v="4.2"/>
        <n v="4"/>
        <n v="4.5"/>
        <n v="3.8"/>
        <n v="4.0999999999999996"/>
        <n v="4.5999999999999996"/>
        <n v="3.5"/>
        <n v="4.3"/>
        <n v="3.9"/>
        <n v="4.4000000000000004"/>
        <m/>
      </sharedItems>
    </cacheField>
  </cacheFields>
  <extLst>
    <ext xmlns:x14="http://schemas.microsoft.com/office/spreadsheetml/2009/9/main" uri="{725AE2AE-9491-48be-B2B4-4EB974FC3084}">
      <x14:pivotCacheDefinition pivotCacheId="21362915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reaka M" refreshedDate="46063.577990972219" createdVersion="8" refreshedVersion="8" minRefreshableVersion="3" recordCount="10" xr:uid="{05AFBB0F-BE6A-4063-AE27-23738A6F426F}">
  <cacheSource type="worksheet">
    <worksheetSource ref="A3:G13" sheet="Sheet5" r:id="rId2"/>
  </cacheSource>
  <cacheFields count="9">
    <cacheField name="Order_ID" numFmtId="0">
      <sharedItems containsSemiMixedTypes="0" containsString="0" containsNumber="1" containsInteger="1" minValue="9001" maxValue="9010"/>
    </cacheField>
    <cacheField name="City" numFmtId="0">
      <sharedItems count="4">
        <s v="Chennai"/>
        <s v="Bangalore"/>
        <s v="Hyderabad"/>
        <s v="Mumbai"/>
      </sharedItems>
    </cacheField>
    <cacheField name="Restaurant" numFmtId="0">
      <sharedItems count="3">
        <s v="A"/>
        <s v="B"/>
        <s v="C"/>
      </sharedItems>
    </cacheField>
    <cacheField name="Order_Value" numFmtId="0">
      <sharedItems containsSemiMixedTypes="0" containsString="0" containsNumber="1" containsInteger="1" minValue="280" maxValue="520"/>
    </cacheField>
    <cacheField name="Delivery_Time_Min" numFmtId="0">
      <sharedItems containsSemiMixedTypes="0" containsString="0" containsNumber="1" containsInteger="1" minValue="25" maxValue="50"/>
    </cacheField>
    <cacheField name="Rating" numFmtId="0">
      <sharedItems containsSemiMixedTypes="0" containsString="0" containsNumber="1" minValue="3.5" maxValue="4.5999999999999996"/>
    </cacheField>
    <cacheField name="Date" numFmtId="14">
      <sharedItems containsSemiMixedTypes="0" containsNonDate="0" containsDate="1" containsString="0" minDate="2026-01-01T00:00:00" maxDate="2026-02-15T00:00:00" count="10">
        <d v="2026-02-03T00:00:00"/>
        <d v="2026-01-07T00:00:00"/>
        <d v="2026-01-11T00:00:00"/>
        <d v="2026-01-26T00:00:00"/>
        <d v="2026-01-31T00:00:00"/>
        <d v="2026-02-14T00:00:00"/>
        <d v="2026-02-11T00:00:00"/>
        <d v="2026-02-06T00:00:00"/>
        <d v="2026-01-17T00:00:00"/>
        <d v="2026-01-01T00:00:00"/>
      </sharedItems>
      <fieldGroup par="8"/>
    </cacheField>
    <cacheField name="Days (Date)" numFmtId="0" databaseField="0">
      <fieldGroup base="6">
        <rangePr groupBy="days" startDate="2026-01-01T00:00:00" endDate="2026-02-15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26"/>
        </groupItems>
      </fieldGroup>
    </cacheField>
    <cacheField name="Months (Date)" numFmtId="0" databaseField="0">
      <fieldGroup base="6">
        <rangePr groupBy="months" startDate="2026-01-01T00:00:00" endDate="2026-02-15T00:00:00"/>
        <groupItems count="14">
          <s v="&lt;01-01-2026"/>
          <s v="Jan"/>
          <s v="Feb"/>
          <s v="Mar"/>
          <s v="Apr"/>
          <s v="May"/>
          <s v="Jun"/>
          <s v="Jul"/>
          <s v="Aug"/>
          <s v="Sep"/>
          <s v="Oct"/>
          <s v="Nov"/>
          <s v="Dec"/>
          <s v="&gt;15-02-2026"/>
        </groupItems>
      </fieldGroup>
    </cacheField>
  </cacheFields>
  <extLst>
    <ext xmlns:x14="http://schemas.microsoft.com/office/spreadsheetml/2009/9/main" uri="{725AE2AE-9491-48be-B2B4-4EB974FC3084}">
      <x14:pivotCacheDefinition pivotCacheId="1128887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9001"/>
    <x v="0"/>
    <x v="0"/>
    <n v="350"/>
    <n v="30"/>
    <x v="0"/>
  </r>
  <r>
    <n v="9002"/>
    <x v="1"/>
    <x v="1"/>
    <n v="420"/>
    <n v="40"/>
    <x v="1"/>
  </r>
  <r>
    <n v="9003"/>
    <x v="0"/>
    <x v="2"/>
    <n v="280"/>
    <n v="28"/>
    <x v="2"/>
  </r>
  <r>
    <n v="9004"/>
    <x v="2"/>
    <x v="0"/>
    <n v="500"/>
    <n v="45"/>
    <x v="3"/>
  </r>
  <r>
    <n v="9005"/>
    <x v="3"/>
    <x v="1"/>
    <n v="450"/>
    <n v="35"/>
    <x v="4"/>
  </r>
  <r>
    <n v="9006"/>
    <x v="1"/>
    <x v="2"/>
    <n v="300"/>
    <n v="25"/>
    <x v="5"/>
  </r>
  <r>
    <n v="9007"/>
    <x v="3"/>
    <x v="0"/>
    <n v="520"/>
    <n v="50"/>
    <x v="6"/>
  </r>
  <r>
    <n v="9008"/>
    <x v="0"/>
    <x v="1"/>
    <n v="390"/>
    <n v="32"/>
    <x v="7"/>
  </r>
  <r>
    <n v="9009"/>
    <x v="2"/>
    <x v="2"/>
    <n v="410"/>
    <n v="38"/>
    <x v="8"/>
  </r>
  <r>
    <n v="9010"/>
    <x v="1"/>
    <x v="0"/>
    <n v="360"/>
    <n v="29"/>
    <x v="9"/>
  </r>
  <r>
    <m/>
    <x v="4"/>
    <x v="3"/>
    <m/>
    <m/>
    <x v="10"/>
  </r>
  <r>
    <m/>
    <x v="4"/>
    <x v="3"/>
    <m/>
    <m/>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9001"/>
    <x v="0"/>
    <x v="0"/>
    <n v="350"/>
    <n v="30"/>
    <n v="4.2"/>
    <x v="0"/>
  </r>
  <r>
    <n v="9002"/>
    <x v="1"/>
    <x v="1"/>
    <n v="420"/>
    <n v="40"/>
    <n v="4"/>
    <x v="1"/>
  </r>
  <r>
    <n v="9003"/>
    <x v="0"/>
    <x v="2"/>
    <n v="280"/>
    <n v="28"/>
    <n v="4.5"/>
    <x v="2"/>
  </r>
  <r>
    <n v="9004"/>
    <x v="2"/>
    <x v="0"/>
    <n v="500"/>
    <n v="45"/>
    <n v="3.8"/>
    <x v="3"/>
  </r>
  <r>
    <n v="9005"/>
    <x v="3"/>
    <x v="1"/>
    <n v="450"/>
    <n v="35"/>
    <n v="4.0999999999999996"/>
    <x v="4"/>
  </r>
  <r>
    <n v="9006"/>
    <x v="1"/>
    <x v="2"/>
    <n v="300"/>
    <n v="25"/>
    <n v="4.5999999999999996"/>
    <x v="5"/>
  </r>
  <r>
    <n v="9007"/>
    <x v="3"/>
    <x v="0"/>
    <n v="520"/>
    <n v="50"/>
    <n v="3.5"/>
    <x v="6"/>
  </r>
  <r>
    <n v="9008"/>
    <x v="0"/>
    <x v="1"/>
    <n v="390"/>
    <n v="32"/>
    <n v="4.3"/>
    <x v="7"/>
  </r>
  <r>
    <n v="9009"/>
    <x v="2"/>
    <x v="2"/>
    <n v="410"/>
    <n v="38"/>
    <n v="3.9"/>
    <x v="8"/>
  </r>
  <r>
    <n v="9010"/>
    <x v="1"/>
    <x v="0"/>
    <n v="360"/>
    <n v="29"/>
    <n v="4.400000000000000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B49B3B-FD16-4D24-B2B0-B1AC1900D9DD}"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3:E68" firstHeaderRow="0" firstDataRow="1" firstDataCol="1"/>
  <pivotFields count="9">
    <pivotField dataField="1" showAll="0"/>
    <pivotField axis="axisRow" showAll="0">
      <items count="5">
        <item x="1"/>
        <item x="0"/>
        <item x="2"/>
        <item x="3"/>
        <item t="default"/>
      </items>
    </pivotField>
    <pivotField axis="axisRow" showAll="0">
      <items count="4">
        <item x="0"/>
        <item x="1"/>
        <item x="2"/>
        <item t="default"/>
      </items>
    </pivotField>
    <pivotField dataField="1" showAll="0"/>
    <pivotField dataField="1" showAll="0"/>
    <pivotField dataField="1" showAll="0"/>
    <pivotField axis="axisRow" numFmtId="14" showAll="0">
      <items count="11">
        <item x="9"/>
        <item x="1"/>
        <item x="2"/>
        <item x="8"/>
        <item x="3"/>
        <item x="4"/>
        <item x="0"/>
        <item x="7"/>
        <item x="6"/>
        <item x="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5">
    <field x="1"/>
    <field x="2"/>
    <field x="8"/>
    <field x="7"/>
    <field x="6"/>
  </rowFields>
  <rowItems count="25">
    <i>
      <x/>
    </i>
    <i r="1">
      <x/>
    </i>
    <i r="2">
      <x v="1"/>
    </i>
    <i r="1">
      <x v="1"/>
    </i>
    <i r="2">
      <x v="1"/>
    </i>
    <i r="1">
      <x v="2"/>
    </i>
    <i r="2">
      <x v="2"/>
    </i>
    <i>
      <x v="1"/>
    </i>
    <i r="1">
      <x/>
    </i>
    <i r="2">
      <x v="2"/>
    </i>
    <i r="1">
      <x v="1"/>
    </i>
    <i r="2">
      <x v="2"/>
    </i>
    <i r="1">
      <x v="2"/>
    </i>
    <i r="2">
      <x v="1"/>
    </i>
    <i>
      <x v="2"/>
    </i>
    <i r="1">
      <x/>
    </i>
    <i r="2">
      <x v="1"/>
    </i>
    <i r="1">
      <x v="2"/>
    </i>
    <i r="2">
      <x v="1"/>
    </i>
    <i>
      <x v="3"/>
    </i>
    <i r="1">
      <x/>
    </i>
    <i r="2">
      <x v="2"/>
    </i>
    <i r="1">
      <x v="1"/>
    </i>
    <i r="2">
      <x v="1"/>
    </i>
    <i t="grand">
      <x/>
    </i>
  </rowItems>
  <colFields count="1">
    <field x="-2"/>
  </colFields>
  <colItems count="4">
    <i>
      <x/>
    </i>
    <i i="1">
      <x v="1"/>
    </i>
    <i i="2">
      <x v="2"/>
    </i>
    <i i="3">
      <x v="3"/>
    </i>
  </colItems>
  <dataFields count="4">
    <dataField name="Sum of Order_ID" fld="0" baseField="0" baseItem="0"/>
    <dataField name="Sum of Order_Value" fld="3" baseField="0" baseItem="0"/>
    <dataField name="Sum of Delivery_Time_Min" fld="4" baseField="0" baseItem="0"/>
    <dataField name="Sum of Ra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BBF155-AF63-49CC-9531-264A318611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0" firstHeaderRow="0" firstDataRow="1" firstDataCol="1"/>
  <pivotFields count="6">
    <pivotField dataField="1" showAll="0"/>
    <pivotField axis="axisRow" showAll="0">
      <items count="6">
        <item x="1"/>
        <item x="0"/>
        <item x="2"/>
        <item x="3"/>
        <item x="4"/>
        <item t="default"/>
      </items>
    </pivotField>
    <pivotField axis="axisRow" showAll="0">
      <items count="5">
        <item x="0"/>
        <item x="1"/>
        <item x="2"/>
        <item x="3"/>
        <item t="default"/>
      </items>
    </pivotField>
    <pivotField dataField="1" showAll="0"/>
    <pivotField dataField="1" showAll="0"/>
    <pivotField dataField="1" showAll="0">
      <items count="12">
        <item x="6"/>
        <item x="3"/>
        <item x="8"/>
        <item x="1"/>
        <item x="4"/>
        <item x="0"/>
        <item x="7"/>
        <item x="9"/>
        <item x="2"/>
        <item x="5"/>
        <item x="10"/>
        <item t="default"/>
      </items>
    </pivotField>
  </pivotFields>
  <rowFields count="2">
    <field x="1"/>
    <field x="2"/>
  </rowFields>
  <rowItems count="17">
    <i>
      <x/>
    </i>
    <i r="1">
      <x/>
    </i>
    <i r="1">
      <x v="1"/>
    </i>
    <i r="1">
      <x v="2"/>
    </i>
    <i>
      <x v="1"/>
    </i>
    <i r="1">
      <x/>
    </i>
    <i r="1">
      <x v="1"/>
    </i>
    <i r="1">
      <x v="2"/>
    </i>
    <i>
      <x v="2"/>
    </i>
    <i r="1">
      <x/>
    </i>
    <i r="1">
      <x v="2"/>
    </i>
    <i>
      <x v="3"/>
    </i>
    <i r="1">
      <x/>
    </i>
    <i r="1">
      <x v="1"/>
    </i>
    <i>
      <x v="4"/>
    </i>
    <i r="1">
      <x v="3"/>
    </i>
    <i t="grand">
      <x/>
    </i>
  </rowItems>
  <colFields count="1">
    <field x="-2"/>
  </colFields>
  <colItems count="4">
    <i>
      <x/>
    </i>
    <i i="1">
      <x v="1"/>
    </i>
    <i i="2">
      <x v="2"/>
    </i>
    <i i="3">
      <x v="3"/>
    </i>
  </colItems>
  <dataFields count="4">
    <dataField name="Sum of Order_ID" fld="0" baseField="0" baseItem="0"/>
    <dataField name="Sum of Order_Value" fld="3" baseField="0" baseItem="0"/>
    <dataField name="Sum of Delivery_Time_Min" fld="4" baseField="0" baseItem="0"/>
    <dataField name="Sum of Rating" fld="5"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3">
          <reference field="4294967294" count="1" selected="0">
            <x v="0"/>
          </reference>
          <reference field="1" count="1" selected="0">
            <x v="2"/>
          </reference>
          <reference field="2" count="1" selected="0">
            <x v="2"/>
          </reference>
        </references>
      </pivotArea>
    </chartFormat>
    <chartFormat chart="0" format="5">
      <pivotArea type="data" outline="0" fieldPosition="0">
        <references count="3">
          <reference field="4294967294" count="1" selected="0">
            <x v="1"/>
          </reference>
          <reference field="1" count="1" selected="0">
            <x v="2"/>
          </reference>
          <reference field="2" count="1" selected="0">
            <x v="2"/>
          </reference>
        </references>
      </pivotArea>
    </chartFormat>
    <chartFormat chart="0" format="6">
      <pivotArea type="data" outline="0" fieldPosition="0">
        <references count="3">
          <reference field="4294967294" count="1" selected="0">
            <x v="2"/>
          </reference>
          <reference field="1" count="1" selected="0">
            <x v="2"/>
          </reference>
          <reference field="2" count="1" selected="0">
            <x v="2"/>
          </reference>
        </references>
      </pivotArea>
    </chartFormat>
    <chartFormat chart="0" format="7">
      <pivotArea type="data" outline="0" fieldPosition="0">
        <references count="3">
          <reference field="4294967294" count="1" selected="0">
            <x v="3"/>
          </reference>
          <reference field="1"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1E7D022-419C-4AFC-B247-ECAFF5D9F23D}" sourceName="City">
  <pivotTables>
    <pivotTable tabId="6" name="PivotTable1"/>
  </pivotTables>
  <data>
    <tabular pivotCacheId="2136291502">
      <items count="5">
        <i x="1" s="1"/>
        <i x="0" s="1"/>
        <i x="2"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BA8E63C6-88C1-4F84-8123-7B6483CF887C}" sourceName="Restaurant">
  <pivotTables>
    <pivotTable tabId="6" name="PivotTable1"/>
  </pivotTables>
  <data>
    <tabular pivotCacheId="2136291502">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BCE25F0-D1AD-4EBD-9843-788FB1BDDCC2}" sourceName="Rating">
  <pivotTables>
    <pivotTable tabId="6" name="PivotTable1"/>
  </pivotTables>
  <data>
    <tabular pivotCacheId="2136291502">
      <items count="11">
        <i x="6" s="1"/>
        <i x="3" s="1"/>
        <i x="8" s="1"/>
        <i x="1" s="1"/>
        <i x="4" s="1"/>
        <i x="0" s="1"/>
        <i x="7" s="1"/>
        <i x="9" s="1"/>
        <i x="2" s="1"/>
        <i x="5"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3FB5567-1E37-4936-820B-3CF74CCA9F3E}" cache="Slicer_City" caption="City" rowHeight="247650"/>
  <slicer name="Restaurant" xr10:uid="{2913B1EC-E7DC-4C8C-B631-E85EACB26993}" cache="Slicer_Restaurant" caption="Restaurant" rowHeight="247650"/>
  <slicer name="Rating" xr10:uid="{695DFDB0-0DC7-40E5-B655-D17076C1BA44}" cache="Slicer_Rating" caption="Rating"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7304DCF-23A5-402C-9033-2799C062CF5A}" sourceName="Date">
  <pivotTables>
    <pivotTable tabId="6" name="PivotTable2"/>
  </pivotTables>
  <state minimalRefreshVersion="6" lastRefreshVersion="6" pivotCacheId="112888739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2957BCC-9E52-4CF4-A6C7-92DADC8B2D48}" cache="NativeTimeline_Date" caption="Date" level="3" selectionLevel="2" scrollPosition="2026-01-05T00:00:00"/>
</timeline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F9BE8-E518-4AC9-83A7-DB8BFF8FCA04}">
  <dimension ref="G1:L11"/>
  <sheetViews>
    <sheetView topLeftCell="G1" workbookViewId="0">
      <selection activeCell="L15" sqref="L15"/>
    </sheetView>
  </sheetViews>
  <sheetFormatPr defaultRowHeight="14.4" x14ac:dyDescent="0.3"/>
  <sheetData>
    <row r="1" spans="7:12" ht="15.6" x14ac:dyDescent="0.3">
      <c r="G1" s="1" t="s">
        <v>0</v>
      </c>
      <c r="H1" s="1" t="s">
        <v>1</v>
      </c>
      <c r="I1" s="1" t="s">
        <v>2</v>
      </c>
      <c r="J1" s="1" t="s">
        <v>3</v>
      </c>
      <c r="K1" s="1" t="s">
        <v>4</v>
      </c>
      <c r="L1" s="1" t="s">
        <v>5</v>
      </c>
    </row>
    <row r="2" spans="7:12" ht="15.6" x14ac:dyDescent="0.3">
      <c r="G2" s="1">
        <v>9001</v>
      </c>
      <c r="H2" s="1" t="s">
        <v>6</v>
      </c>
      <c r="I2" s="1" t="s">
        <v>7</v>
      </c>
      <c r="J2" s="1">
        <v>350</v>
      </c>
      <c r="K2" s="1">
        <v>30</v>
      </c>
      <c r="L2" s="1">
        <v>4.2</v>
      </c>
    </row>
    <row r="3" spans="7:12" ht="15.6" x14ac:dyDescent="0.3">
      <c r="G3" s="1">
        <v>9002</v>
      </c>
      <c r="H3" s="1" t="s">
        <v>8</v>
      </c>
      <c r="I3" s="1" t="s">
        <v>9</v>
      </c>
      <c r="J3" s="1">
        <v>420</v>
      </c>
      <c r="K3" s="1">
        <v>40</v>
      </c>
      <c r="L3" s="1">
        <v>4</v>
      </c>
    </row>
    <row r="4" spans="7:12" ht="15.6" x14ac:dyDescent="0.3">
      <c r="G4" s="1">
        <v>9003</v>
      </c>
      <c r="H4" s="1" t="s">
        <v>6</v>
      </c>
      <c r="I4" s="1" t="s">
        <v>10</v>
      </c>
      <c r="J4" s="1">
        <v>280</v>
      </c>
      <c r="K4" s="1">
        <v>28</v>
      </c>
      <c r="L4" s="1">
        <v>4.5</v>
      </c>
    </row>
    <row r="5" spans="7:12" ht="15.6" x14ac:dyDescent="0.3">
      <c r="G5" s="1">
        <v>9004</v>
      </c>
      <c r="H5" s="1" t="s">
        <v>11</v>
      </c>
      <c r="I5" s="1" t="s">
        <v>7</v>
      </c>
      <c r="J5" s="1">
        <v>500</v>
      </c>
      <c r="K5" s="1">
        <v>45</v>
      </c>
      <c r="L5" s="1">
        <v>3.8</v>
      </c>
    </row>
    <row r="6" spans="7:12" ht="15.6" x14ac:dyDescent="0.3">
      <c r="G6" s="1">
        <v>9005</v>
      </c>
      <c r="H6" s="1" t="s">
        <v>12</v>
      </c>
      <c r="I6" s="1" t="s">
        <v>9</v>
      </c>
      <c r="J6" s="1">
        <v>450</v>
      </c>
      <c r="K6" s="1">
        <v>35</v>
      </c>
      <c r="L6" s="1">
        <v>4.0999999999999996</v>
      </c>
    </row>
    <row r="7" spans="7:12" ht="15.6" x14ac:dyDescent="0.3">
      <c r="G7" s="1">
        <v>9006</v>
      </c>
      <c r="H7" s="1" t="s">
        <v>8</v>
      </c>
      <c r="I7" s="1" t="s">
        <v>10</v>
      </c>
      <c r="J7" s="1">
        <v>300</v>
      </c>
      <c r="K7" s="1">
        <v>25</v>
      </c>
      <c r="L7" s="1">
        <v>4.5999999999999996</v>
      </c>
    </row>
    <row r="8" spans="7:12" ht="15.6" x14ac:dyDescent="0.3">
      <c r="G8" s="1">
        <v>9007</v>
      </c>
      <c r="H8" s="1" t="s">
        <v>12</v>
      </c>
      <c r="I8" s="1" t="s">
        <v>7</v>
      </c>
      <c r="J8" s="1">
        <v>520</v>
      </c>
      <c r="K8" s="1">
        <v>50</v>
      </c>
      <c r="L8" s="1">
        <v>3.5</v>
      </c>
    </row>
    <row r="9" spans="7:12" ht="15.6" x14ac:dyDescent="0.3">
      <c r="G9" s="1">
        <v>9008</v>
      </c>
      <c r="H9" s="1" t="s">
        <v>6</v>
      </c>
      <c r="I9" s="1" t="s">
        <v>9</v>
      </c>
      <c r="J9" s="1">
        <v>390</v>
      </c>
      <c r="K9" s="1">
        <v>32</v>
      </c>
      <c r="L9" s="1">
        <v>4.3</v>
      </c>
    </row>
    <row r="10" spans="7:12" ht="15.6" x14ac:dyDescent="0.3">
      <c r="G10" s="1">
        <v>9009</v>
      </c>
      <c r="H10" s="1" t="s">
        <v>11</v>
      </c>
      <c r="I10" s="1" t="s">
        <v>10</v>
      </c>
      <c r="J10" s="1">
        <v>410</v>
      </c>
      <c r="K10" s="1">
        <v>38</v>
      </c>
      <c r="L10" s="1">
        <v>3.9</v>
      </c>
    </row>
    <row r="11" spans="7:12" ht="15.6" x14ac:dyDescent="0.3">
      <c r="G11" s="1">
        <v>9010</v>
      </c>
      <c r="H11" s="1" t="s">
        <v>8</v>
      </c>
      <c r="I11" s="1" t="s">
        <v>7</v>
      </c>
      <c r="J11" s="1">
        <v>360</v>
      </c>
      <c r="K11" s="1">
        <v>29</v>
      </c>
      <c r="L11" s="1">
        <v>4.4000000000000004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4BBB-1D21-4E63-BF8E-866197108F05}">
  <dimension ref="A3:F13"/>
  <sheetViews>
    <sheetView workbookViewId="0">
      <selection activeCell="G14" sqref="G14"/>
    </sheetView>
  </sheetViews>
  <sheetFormatPr defaultRowHeight="14.4" x14ac:dyDescent="0.3"/>
  <cols>
    <col min="1" max="1" width="9.21875" customWidth="1"/>
    <col min="2" max="2" width="14.6640625" customWidth="1"/>
    <col min="3" max="3" width="14.33203125" customWidth="1"/>
    <col min="4" max="4" width="13.44140625" customWidth="1"/>
    <col min="5" max="5" width="19.33203125" customWidth="1"/>
    <col min="6" max="6" width="12.44140625" customWidth="1"/>
  </cols>
  <sheetData>
    <row r="3" spans="1:6" ht="15.6" x14ac:dyDescent="0.3">
      <c r="A3" s="7" t="s">
        <v>0</v>
      </c>
      <c r="B3" s="7" t="s">
        <v>1</v>
      </c>
      <c r="C3" s="7" t="s">
        <v>2</v>
      </c>
      <c r="D3" s="7" t="s">
        <v>3</v>
      </c>
      <c r="E3" s="7" t="s">
        <v>4</v>
      </c>
      <c r="F3" s="7" t="s">
        <v>5</v>
      </c>
    </row>
    <row r="4" spans="1:6" ht="15.6" x14ac:dyDescent="0.3">
      <c r="A4" s="6">
        <v>9001</v>
      </c>
      <c r="B4" s="6" t="s">
        <v>6</v>
      </c>
      <c r="C4" s="6" t="s">
        <v>7</v>
      </c>
      <c r="D4" s="6">
        <v>350</v>
      </c>
      <c r="E4" s="6">
        <v>30</v>
      </c>
      <c r="F4" s="6">
        <v>4.2</v>
      </c>
    </row>
    <row r="5" spans="1:6" ht="15.6" x14ac:dyDescent="0.3">
      <c r="A5" s="6">
        <v>9002</v>
      </c>
      <c r="B5" s="6" t="s">
        <v>8</v>
      </c>
      <c r="C5" s="6" t="s">
        <v>9</v>
      </c>
      <c r="D5" s="6">
        <v>420</v>
      </c>
      <c r="E5" s="6">
        <v>40</v>
      </c>
      <c r="F5" s="6">
        <v>4</v>
      </c>
    </row>
    <row r="6" spans="1:6" ht="15.6" x14ac:dyDescent="0.3">
      <c r="A6" s="6">
        <v>9003</v>
      </c>
      <c r="B6" s="6" t="s">
        <v>6</v>
      </c>
      <c r="C6" s="6" t="s">
        <v>10</v>
      </c>
      <c r="D6" s="6">
        <v>280</v>
      </c>
      <c r="E6" s="6">
        <v>28</v>
      </c>
      <c r="F6" s="6">
        <v>4.5</v>
      </c>
    </row>
    <row r="7" spans="1:6" ht="15.6" x14ac:dyDescent="0.3">
      <c r="A7" s="6">
        <v>9004</v>
      </c>
      <c r="B7" s="6" t="s">
        <v>11</v>
      </c>
      <c r="C7" s="6" t="s">
        <v>7</v>
      </c>
      <c r="D7" s="6">
        <v>500</v>
      </c>
      <c r="E7" s="6">
        <v>45</v>
      </c>
      <c r="F7" s="6">
        <v>3.8</v>
      </c>
    </row>
    <row r="8" spans="1:6" ht="15.6" x14ac:dyDescent="0.3">
      <c r="A8" s="6">
        <v>9005</v>
      </c>
      <c r="B8" s="6" t="s">
        <v>12</v>
      </c>
      <c r="C8" s="6" t="s">
        <v>9</v>
      </c>
      <c r="D8" s="6">
        <v>450</v>
      </c>
      <c r="E8" s="6">
        <v>35</v>
      </c>
      <c r="F8" s="6">
        <v>4.0999999999999996</v>
      </c>
    </row>
    <row r="9" spans="1:6" ht="15.6" x14ac:dyDescent="0.3">
      <c r="A9" s="6">
        <v>9006</v>
      </c>
      <c r="B9" s="6" t="s">
        <v>8</v>
      </c>
      <c r="C9" s="6" t="s">
        <v>10</v>
      </c>
      <c r="D9" s="6">
        <v>300</v>
      </c>
      <c r="E9" s="6">
        <v>25</v>
      </c>
      <c r="F9" s="6">
        <v>4.5999999999999996</v>
      </c>
    </row>
    <row r="10" spans="1:6" ht="15.6" x14ac:dyDescent="0.3">
      <c r="A10" s="6">
        <v>9007</v>
      </c>
      <c r="B10" s="6" t="s">
        <v>12</v>
      </c>
      <c r="C10" s="6" t="s">
        <v>7</v>
      </c>
      <c r="D10" s="6">
        <v>520</v>
      </c>
      <c r="E10" s="6">
        <v>50</v>
      </c>
      <c r="F10" s="6">
        <v>3.5</v>
      </c>
    </row>
    <row r="11" spans="1:6" ht="15.6" x14ac:dyDescent="0.3">
      <c r="A11" s="6">
        <v>9008</v>
      </c>
      <c r="B11" s="6" t="s">
        <v>6</v>
      </c>
      <c r="C11" s="6" t="s">
        <v>9</v>
      </c>
      <c r="D11" s="6">
        <v>390</v>
      </c>
      <c r="E11" s="6">
        <v>32</v>
      </c>
      <c r="F11" s="6">
        <v>4.3</v>
      </c>
    </row>
    <row r="12" spans="1:6" ht="15.6" x14ac:dyDescent="0.3">
      <c r="A12" s="6">
        <v>9009</v>
      </c>
      <c r="B12" s="6" t="s">
        <v>11</v>
      </c>
      <c r="C12" s="6" t="s">
        <v>10</v>
      </c>
      <c r="D12" s="6">
        <v>410</v>
      </c>
      <c r="E12" s="6">
        <v>38</v>
      </c>
      <c r="F12" s="6">
        <v>3.9</v>
      </c>
    </row>
    <row r="13" spans="1:6" ht="15.6" x14ac:dyDescent="0.3">
      <c r="A13" s="6">
        <v>9010</v>
      </c>
      <c r="B13" s="6" t="s">
        <v>8</v>
      </c>
      <c r="C13" s="6" t="s">
        <v>7</v>
      </c>
      <c r="D13" s="6">
        <v>360</v>
      </c>
      <c r="E13" s="6">
        <v>29</v>
      </c>
      <c r="F13" s="6">
        <v>4.4000000000000004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2CE3-99AD-4354-8D90-BE528AD1618C}">
  <dimension ref="A1:K13"/>
  <sheetViews>
    <sheetView zoomScale="88" workbookViewId="0">
      <selection activeCell="P15" sqref="P15"/>
    </sheetView>
  </sheetViews>
  <sheetFormatPr defaultRowHeight="14.4" x14ac:dyDescent="0.3"/>
  <cols>
    <col min="1" max="1" width="12.44140625" customWidth="1"/>
    <col min="2" max="2" width="17.44140625" customWidth="1"/>
    <col min="3" max="3" width="15.109375" customWidth="1"/>
    <col min="4" max="4" width="21" customWidth="1"/>
    <col min="5" max="5" width="20.77734375" customWidth="1"/>
    <col min="6" max="6" width="10.109375" customWidth="1"/>
    <col min="9" max="9" width="19.44140625" customWidth="1"/>
    <col min="10" max="10" width="17.5546875" customWidth="1"/>
  </cols>
  <sheetData>
    <row r="1" spans="1:11" x14ac:dyDescent="0.3">
      <c r="A1" s="8"/>
      <c r="B1" s="8"/>
      <c r="C1" s="8"/>
      <c r="D1" s="8"/>
      <c r="E1" s="8"/>
      <c r="F1" s="8"/>
    </row>
    <row r="2" spans="1:11" x14ac:dyDescent="0.3">
      <c r="A2" s="8"/>
      <c r="B2" s="8"/>
      <c r="C2" s="8"/>
      <c r="D2" s="8"/>
      <c r="E2" s="8"/>
      <c r="F2" s="8"/>
    </row>
    <row r="3" spans="1:11" ht="15.6" x14ac:dyDescent="0.3">
      <c r="A3" s="7" t="s">
        <v>0</v>
      </c>
      <c r="B3" s="7" t="s">
        <v>1</v>
      </c>
      <c r="C3" s="7" t="s">
        <v>2</v>
      </c>
      <c r="D3" s="7" t="s">
        <v>3</v>
      </c>
      <c r="E3" s="7" t="s">
        <v>4</v>
      </c>
      <c r="F3" s="7" t="s">
        <v>5</v>
      </c>
      <c r="G3" s="10"/>
      <c r="H3" s="10"/>
    </row>
    <row r="4" spans="1:11" ht="15.6" x14ac:dyDescent="0.3">
      <c r="A4" s="6">
        <v>9001</v>
      </c>
      <c r="B4" s="6" t="s">
        <v>6</v>
      </c>
      <c r="C4" s="6" t="s">
        <v>7</v>
      </c>
      <c r="D4" s="6">
        <v>350</v>
      </c>
      <c r="E4" s="6">
        <v>30</v>
      </c>
      <c r="F4" s="6">
        <v>4.2</v>
      </c>
      <c r="G4" s="10"/>
      <c r="H4" s="10"/>
    </row>
    <row r="5" spans="1:11" ht="15.6" x14ac:dyDescent="0.3">
      <c r="A5" s="6">
        <v>9002</v>
      </c>
      <c r="B5" s="6" t="s">
        <v>8</v>
      </c>
      <c r="C5" s="6" t="s">
        <v>9</v>
      </c>
      <c r="D5" s="6">
        <v>420</v>
      </c>
      <c r="E5" s="6">
        <v>40</v>
      </c>
      <c r="F5" s="6">
        <v>4</v>
      </c>
      <c r="G5" s="10"/>
      <c r="H5" s="10"/>
    </row>
    <row r="6" spans="1:11" ht="15.6" x14ac:dyDescent="0.3">
      <c r="A6" s="6">
        <v>9003</v>
      </c>
      <c r="B6" s="6" t="s">
        <v>6</v>
      </c>
      <c r="C6" s="6" t="s">
        <v>10</v>
      </c>
      <c r="D6" s="6">
        <v>280</v>
      </c>
      <c r="E6" s="6">
        <v>28</v>
      </c>
      <c r="F6" s="6">
        <v>4.5</v>
      </c>
      <c r="G6" s="10"/>
      <c r="H6" s="10"/>
    </row>
    <row r="7" spans="1:11" ht="18" x14ac:dyDescent="0.35">
      <c r="A7" s="6">
        <v>9004</v>
      </c>
      <c r="B7" s="6" t="s">
        <v>11</v>
      </c>
      <c r="C7" s="6" t="s">
        <v>7</v>
      </c>
      <c r="D7" s="6">
        <v>500</v>
      </c>
      <c r="E7" s="6">
        <v>45</v>
      </c>
      <c r="F7" s="6">
        <v>3.8</v>
      </c>
      <c r="G7" s="10"/>
      <c r="H7" s="10"/>
      <c r="J7" s="9" t="s">
        <v>13</v>
      </c>
      <c r="K7">
        <f>VLOOKUP(A6,A3:E10,5,FALSE)</f>
        <v>28</v>
      </c>
    </row>
    <row r="8" spans="1:11" ht="15.6" x14ac:dyDescent="0.3">
      <c r="A8" s="6">
        <v>9005</v>
      </c>
      <c r="B8" s="6" t="s">
        <v>12</v>
      </c>
      <c r="C8" s="6" t="s">
        <v>9</v>
      </c>
      <c r="D8" s="6">
        <v>450</v>
      </c>
      <c r="E8" s="6">
        <v>35</v>
      </c>
      <c r="F8" s="6">
        <v>4.0999999999999996</v>
      </c>
      <c r="G8" s="10"/>
      <c r="H8" s="10"/>
    </row>
    <row r="9" spans="1:11" ht="18" x14ac:dyDescent="0.35">
      <c r="A9" s="6">
        <v>9006</v>
      </c>
      <c r="B9" s="6" t="s">
        <v>8</v>
      </c>
      <c r="C9" s="6" t="s">
        <v>10</v>
      </c>
      <c r="D9" s="6">
        <v>300</v>
      </c>
      <c r="E9" s="6">
        <v>25</v>
      </c>
      <c r="F9" s="6">
        <v>4.5999999999999996</v>
      </c>
      <c r="G9" s="10"/>
      <c r="H9" s="10"/>
      <c r="I9" s="9" t="s">
        <v>14</v>
      </c>
      <c r="J9">
        <f>HLOOKUP(A3,A3:F13,7,FALSE)</f>
        <v>9006</v>
      </c>
    </row>
    <row r="10" spans="1:11" ht="15.6" x14ac:dyDescent="0.3">
      <c r="A10" s="6">
        <v>9007</v>
      </c>
      <c r="B10" s="6" t="s">
        <v>12</v>
      </c>
      <c r="C10" s="6" t="s">
        <v>7</v>
      </c>
      <c r="D10" s="6">
        <v>520</v>
      </c>
      <c r="E10" s="6">
        <v>50</v>
      </c>
      <c r="F10" s="6">
        <v>3.5</v>
      </c>
      <c r="G10" s="10"/>
      <c r="H10" s="10"/>
    </row>
    <row r="11" spans="1:11" ht="15.6" x14ac:dyDescent="0.3">
      <c r="A11" s="6">
        <v>9008</v>
      </c>
      <c r="B11" s="6" t="s">
        <v>6</v>
      </c>
      <c r="C11" s="6" t="s">
        <v>9</v>
      </c>
      <c r="D11" s="6">
        <v>390</v>
      </c>
      <c r="E11" s="6">
        <v>32</v>
      </c>
      <c r="F11" s="6">
        <v>4.3</v>
      </c>
      <c r="G11" s="10"/>
      <c r="H11" s="10"/>
    </row>
    <row r="12" spans="1:11" ht="15.6" x14ac:dyDescent="0.3">
      <c r="A12" s="6">
        <v>9009</v>
      </c>
      <c r="B12" s="6" t="s">
        <v>11</v>
      </c>
      <c r="C12" s="6" t="s">
        <v>10</v>
      </c>
      <c r="D12" s="6">
        <v>410</v>
      </c>
      <c r="E12" s="6">
        <v>38</v>
      </c>
      <c r="F12" s="6">
        <v>3.9</v>
      </c>
      <c r="G12" s="10"/>
      <c r="H12" s="10"/>
    </row>
    <row r="13" spans="1:11" ht="15.6" x14ac:dyDescent="0.3">
      <c r="A13" s="6">
        <v>9010</v>
      </c>
      <c r="B13" s="6" t="s">
        <v>8</v>
      </c>
      <c r="C13" s="6" t="s">
        <v>7</v>
      </c>
      <c r="D13" s="6">
        <v>360</v>
      </c>
      <c r="E13" s="6">
        <v>29</v>
      </c>
      <c r="F13" s="6">
        <v>4.4000000000000004</v>
      </c>
      <c r="G13" s="10"/>
      <c r="H13" s="10"/>
    </row>
  </sheetData>
  <conditionalFormatting sqref="A1:A1048576">
    <cfRule type="containsText" dxfId="3" priority="4" operator="containsText" text="order">
      <formula>NOT(ISERROR(SEARCH("order",A1)))</formula>
    </cfRule>
  </conditionalFormatting>
  <conditionalFormatting sqref="A4:A13">
    <cfRule type="cellIs" dxfId="2" priority="2" operator="lessThan">
      <formula>9005</formula>
    </cfRule>
    <cfRule type="cellIs" dxfId="1" priority="3" operator="greaterThan">
      <formula>9000</formula>
    </cfRule>
  </conditionalFormatting>
  <conditionalFormatting sqref="B1:B1048576">
    <cfRule type="containsText" dxfId="0" priority="1" operator="containsText" text="bangalore">
      <formula>NOT(ISERROR(SEARCH("bangalore",B1)))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17DA-F4D4-4828-908C-B9BFF98A7380}">
  <dimension ref="A3:I68"/>
  <sheetViews>
    <sheetView tabSelected="1" zoomScale="108" workbookViewId="0">
      <selection activeCell="I17" sqref="I17"/>
    </sheetView>
  </sheetViews>
  <sheetFormatPr defaultRowHeight="14.4" x14ac:dyDescent="0.3"/>
  <cols>
    <col min="1" max="1" width="12.5546875" bestFit="1" customWidth="1"/>
    <col min="2" max="2" width="15" bestFit="1" customWidth="1"/>
    <col min="3" max="3" width="18.109375" bestFit="1" customWidth="1"/>
    <col min="4" max="4" width="23.5546875" bestFit="1" customWidth="1"/>
    <col min="5" max="5" width="12.6640625" bestFit="1" customWidth="1"/>
    <col min="9" max="9" width="13.77734375" customWidth="1"/>
  </cols>
  <sheetData>
    <row r="3" spans="1:5" x14ac:dyDescent="0.3">
      <c r="A3" s="3" t="s">
        <v>16</v>
      </c>
      <c r="B3" t="s">
        <v>15</v>
      </c>
      <c r="C3" t="s">
        <v>18</v>
      </c>
      <c r="D3" t="s">
        <v>19</v>
      </c>
      <c r="E3" t="s">
        <v>20</v>
      </c>
    </row>
    <row r="4" spans="1:5" x14ac:dyDescent="0.3">
      <c r="A4" s="2" t="s">
        <v>8</v>
      </c>
      <c r="B4" s="11">
        <v>27018</v>
      </c>
      <c r="C4" s="11">
        <v>1080</v>
      </c>
      <c r="D4" s="11">
        <v>94</v>
      </c>
      <c r="E4" s="11">
        <v>13</v>
      </c>
    </row>
    <row r="5" spans="1:5" x14ac:dyDescent="0.3">
      <c r="A5" s="4" t="s">
        <v>7</v>
      </c>
      <c r="B5" s="11">
        <v>9010</v>
      </c>
      <c r="C5" s="11">
        <v>360</v>
      </c>
      <c r="D5" s="11">
        <v>29</v>
      </c>
      <c r="E5" s="11">
        <v>4.4000000000000004</v>
      </c>
    </row>
    <row r="6" spans="1:5" x14ac:dyDescent="0.3">
      <c r="A6" s="4" t="s">
        <v>9</v>
      </c>
      <c r="B6" s="11">
        <v>9002</v>
      </c>
      <c r="C6" s="11">
        <v>420</v>
      </c>
      <c r="D6" s="11">
        <v>40</v>
      </c>
      <c r="E6" s="11">
        <v>4</v>
      </c>
    </row>
    <row r="7" spans="1:5" x14ac:dyDescent="0.3">
      <c r="A7" s="4" t="s">
        <v>10</v>
      </c>
      <c r="B7" s="11">
        <v>9006</v>
      </c>
      <c r="C7" s="11">
        <v>300</v>
      </c>
      <c r="D7" s="11">
        <v>25</v>
      </c>
      <c r="E7" s="11">
        <v>4.5999999999999996</v>
      </c>
    </row>
    <row r="8" spans="1:5" x14ac:dyDescent="0.3">
      <c r="A8" s="2" t="s">
        <v>6</v>
      </c>
      <c r="B8" s="11">
        <v>27012</v>
      </c>
      <c r="C8" s="11">
        <v>1020</v>
      </c>
      <c r="D8" s="11">
        <v>90</v>
      </c>
      <c r="E8" s="11">
        <v>13</v>
      </c>
    </row>
    <row r="9" spans="1:5" x14ac:dyDescent="0.3">
      <c r="A9" s="4" t="s">
        <v>7</v>
      </c>
      <c r="B9" s="11">
        <v>9001</v>
      </c>
      <c r="C9" s="11">
        <v>350</v>
      </c>
      <c r="D9" s="11">
        <v>30</v>
      </c>
      <c r="E9" s="11">
        <v>4.2</v>
      </c>
    </row>
    <row r="10" spans="1:5" x14ac:dyDescent="0.3">
      <c r="A10" s="4" t="s">
        <v>9</v>
      </c>
      <c r="B10" s="11">
        <v>9008</v>
      </c>
      <c r="C10" s="11">
        <v>390</v>
      </c>
      <c r="D10" s="11">
        <v>32</v>
      </c>
      <c r="E10" s="11">
        <v>4.3</v>
      </c>
    </row>
    <row r="11" spans="1:5" x14ac:dyDescent="0.3">
      <c r="A11" s="4" t="s">
        <v>10</v>
      </c>
      <c r="B11" s="11">
        <v>9003</v>
      </c>
      <c r="C11" s="11">
        <v>280</v>
      </c>
      <c r="D11" s="11">
        <v>28</v>
      </c>
      <c r="E11" s="11">
        <v>4.5</v>
      </c>
    </row>
    <row r="12" spans="1:5" x14ac:dyDescent="0.3">
      <c r="A12" s="2" t="s">
        <v>11</v>
      </c>
      <c r="B12" s="11">
        <v>18013</v>
      </c>
      <c r="C12" s="11">
        <v>910</v>
      </c>
      <c r="D12" s="11">
        <v>83</v>
      </c>
      <c r="E12" s="11">
        <v>7.6999999999999993</v>
      </c>
    </row>
    <row r="13" spans="1:5" x14ac:dyDescent="0.3">
      <c r="A13" s="4" t="s">
        <v>7</v>
      </c>
      <c r="B13" s="11">
        <v>9004</v>
      </c>
      <c r="C13" s="11">
        <v>500</v>
      </c>
      <c r="D13" s="11">
        <v>45</v>
      </c>
      <c r="E13" s="11">
        <v>3.8</v>
      </c>
    </row>
    <row r="14" spans="1:5" x14ac:dyDescent="0.3">
      <c r="A14" s="4" t="s">
        <v>10</v>
      </c>
      <c r="B14" s="11">
        <v>9009</v>
      </c>
      <c r="C14" s="11">
        <v>410</v>
      </c>
      <c r="D14" s="11">
        <v>38</v>
      </c>
      <c r="E14" s="11">
        <v>3.9</v>
      </c>
    </row>
    <row r="15" spans="1:5" x14ac:dyDescent="0.3">
      <c r="A15" s="2" t="s">
        <v>12</v>
      </c>
      <c r="B15" s="11">
        <v>18012</v>
      </c>
      <c r="C15" s="11">
        <v>970</v>
      </c>
      <c r="D15" s="11">
        <v>85</v>
      </c>
      <c r="E15" s="11">
        <v>7.6</v>
      </c>
    </row>
    <row r="16" spans="1:5" x14ac:dyDescent="0.3">
      <c r="A16" s="4" t="s">
        <v>7</v>
      </c>
      <c r="B16" s="11">
        <v>9007</v>
      </c>
      <c r="C16" s="11">
        <v>520</v>
      </c>
      <c r="D16" s="11">
        <v>50</v>
      </c>
      <c r="E16" s="11">
        <v>3.5</v>
      </c>
    </row>
    <row r="17" spans="1:5" x14ac:dyDescent="0.3">
      <c r="A17" s="4" t="s">
        <v>9</v>
      </c>
      <c r="B17" s="11">
        <v>9005</v>
      </c>
      <c r="C17" s="11">
        <v>450</v>
      </c>
      <c r="D17" s="11">
        <v>35</v>
      </c>
      <c r="E17" s="11">
        <v>4.0999999999999996</v>
      </c>
    </row>
    <row r="18" spans="1:5" x14ac:dyDescent="0.3">
      <c r="A18" s="2" t="s">
        <v>23</v>
      </c>
      <c r="B18" s="11"/>
      <c r="C18" s="11"/>
      <c r="D18" s="11"/>
      <c r="E18" s="11"/>
    </row>
    <row r="19" spans="1:5" x14ac:dyDescent="0.3">
      <c r="A19" s="4" t="s">
        <v>23</v>
      </c>
      <c r="B19" s="11"/>
      <c r="C19" s="11"/>
      <c r="D19" s="11"/>
      <c r="E19" s="11"/>
    </row>
    <row r="20" spans="1:5" x14ac:dyDescent="0.3">
      <c r="A20" s="2" t="s">
        <v>17</v>
      </c>
      <c r="B20" s="11">
        <v>90055</v>
      </c>
      <c r="C20" s="11">
        <v>3980</v>
      </c>
      <c r="D20" s="11">
        <v>352</v>
      </c>
      <c r="E20" s="11">
        <v>41.300000000000004</v>
      </c>
    </row>
    <row r="43" spans="1:9" x14ac:dyDescent="0.3">
      <c r="A43" s="3" t="s">
        <v>16</v>
      </c>
      <c r="B43" s="3" t="s">
        <v>15</v>
      </c>
      <c r="C43" t="s">
        <v>18</v>
      </c>
      <c r="D43" t="s">
        <v>19</v>
      </c>
      <c r="E43" t="s">
        <v>20</v>
      </c>
    </row>
    <row r="44" spans="1:9" x14ac:dyDescent="0.3">
      <c r="A44" s="2" t="s">
        <v>8</v>
      </c>
      <c r="B44">
        <v>27018</v>
      </c>
      <c r="C44">
        <v>1080</v>
      </c>
      <c r="D44">
        <v>94</v>
      </c>
      <c r="E44">
        <v>13</v>
      </c>
    </row>
    <row r="45" spans="1:9" x14ac:dyDescent="0.3">
      <c r="A45" s="4" t="s">
        <v>7</v>
      </c>
      <c r="B45">
        <v>9010</v>
      </c>
      <c r="C45">
        <v>360</v>
      </c>
      <c r="D45">
        <v>29</v>
      </c>
      <c r="E45">
        <v>4.4000000000000004</v>
      </c>
    </row>
    <row r="46" spans="1:9" x14ac:dyDescent="0.3">
      <c r="A46" s="5" t="s">
        <v>21</v>
      </c>
      <c r="B46">
        <v>9010</v>
      </c>
      <c r="C46">
        <v>360</v>
      </c>
      <c r="D46">
        <v>29</v>
      </c>
      <c r="E46">
        <v>4.4000000000000004</v>
      </c>
    </row>
    <row r="47" spans="1:9" ht="18" x14ac:dyDescent="0.35">
      <c r="A47" s="4" t="s">
        <v>9</v>
      </c>
      <c r="B47">
        <v>9002</v>
      </c>
      <c r="C47">
        <v>420</v>
      </c>
      <c r="D47">
        <v>40</v>
      </c>
      <c r="E47">
        <v>4</v>
      </c>
      <c r="I47" s="9" t="s">
        <v>24</v>
      </c>
    </row>
    <row r="48" spans="1:9" x14ac:dyDescent="0.3">
      <c r="A48" s="5" t="s">
        <v>21</v>
      </c>
      <c r="B48">
        <v>9002</v>
      </c>
      <c r="C48">
        <v>420</v>
      </c>
      <c r="D48">
        <v>40</v>
      </c>
      <c r="E48">
        <v>4</v>
      </c>
    </row>
    <row r="49" spans="1:5" x14ac:dyDescent="0.3">
      <c r="A49" s="4" t="s">
        <v>10</v>
      </c>
      <c r="B49">
        <v>9006</v>
      </c>
      <c r="C49">
        <v>300</v>
      </c>
      <c r="D49">
        <v>25</v>
      </c>
      <c r="E49">
        <v>4.5999999999999996</v>
      </c>
    </row>
    <row r="50" spans="1:5" x14ac:dyDescent="0.3">
      <c r="A50" s="5" t="s">
        <v>22</v>
      </c>
      <c r="B50">
        <v>9006</v>
      </c>
      <c r="C50">
        <v>300</v>
      </c>
      <c r="D50">
        <v>25</v>
      </c>
      <c r="E50">
        <v>4.5999999999999996</v>
      </c>
    </row>
    <row r="51" spans="1:5" x14ac:dyDescent="0.3">
      <c r="A51" s="2" t="s">
        <v>6</v>
      </c>
      <c r="B51">
        <v>27012</v>
      </c>
      <c r="C51">
        <v>1020</v>
      </c>
      <c r="D51">
        <v>90</v>
      </c>
      <c r="E51">
        <v>13</v>
      </c>
    </row>
    <row r="52" spans="1:5" x14ac:dyDescent="0.3">
      <c r="A52" s="4" t="s">
        <v>7</v>
      </c>
      <c r="B52">
        <v>9001</v>
      </c>
      <c r="C52">
        <v>350</v>
      </c>
      <c r="D52">
        <v>30</v>
      </c>
      <c r="E52">
        <v>4.2</v>
      </c>
    </row>
    <row r="53" spans="1:5" x14ac:dyDescent="0.3">
      <c r="A53" s="5" t="s">
        <v>22</v>
      </c>
      <c r="B53">
        <v>9001</v>
      </c>
      <c r="C53">
        <v>350</v>
      </c>
      <c r="D53">
        <v>30</v>
      </c>
      <c r="E53">
        <v>4.2</v>
      </c>
    </row>
    <row r="54" spans="1:5" x14ac:dyDescent="0.3">
      <c r="A54" s="4" t="s">
        <v>9</v>
      </c>
      <c r="B54">
        <v>9008</v>
      </c>
      <c r="C54">
        <v>390</v>
      </c>
      <c r="D54">
        <v>32</v>
      </c>
      <c r="E54">
        <v>4.3</v>
      </c>
    </row>
    <row r="55" spans="1:5" x14ac:dyDescent="0.3">
      <c r="A55" s="5" t="s">
        <v>22</v>
      </c>
      <c r="B55">
        <v>9008</v>
      </c>
      <c r="C55">
        <v>390</v>
      </c>
      <c r="D55">
        <v>32</v>
      </c>
      <c r="E55">
        <v>4.3</v>
      </c>
    </row>
    <row r="56" spans="1:5" x14ac:dyDescent="0.3">
      <c r="A56" s="4" t="s">
        <v>10</v>
      </c>
      <c r="B56">
        <v>9003</v>
      </c>
      <c r="C56">
        <v>280</v>
      </c>
      <c r="D56">
        <v>28</v>
      </c>
      <c r="E56">
        <v>4.5</v>
      </c>
    </row>
    <row r="57" spans="1:5" x14ac:dyDescent="0.3">
      <c r="A57" s="5" t="s">
        <v>21</v>
      </c>
      <c r="B57">
        <v>9003</v>
      </c>
      <c r="C57">
        <v>280</v>
      </c>
      <c r="D57">
        <v>28</v>
      </c>
      <c r="E57">
        <v>4.5</v>
      </c>
    </row>
    <row r="58" spans="1:5" x14ac:dyDescent="0.3">
      <c r="A58" s="2" t="s">
        <v>11</v>
      </c>
      <c r="B58">
        <v>18013</v>
      </c>
      <c r="C58">
        <v>910</v>
      </c>
      <c r="D58">
        <v>83</v>
      </c>
      <c r="E58">
        <v>7.6999999999999993</v>
      </c>
    </row>
    <row r="59" spans="1:5" x14ac:dyDescent="0.3">
      <c r="A59" s="4" t="s">
        <v>7</v>
      </c>
      <c r="B59">
        <v>9004</v>
      </c>
      <c r="C59">
        <v>500</v>
      </c>
      <c r="D59">
        <v>45</v>
      </c>
      <c r="E59">
        <v>3.8</v>
      </c>
    </row>
    <row r="60" spans="1:5" x14ac:dyDescent="0.3">
      <c r="A60" s="5" t="s">
        <v>21</v>
      </c>
      <c r="B60">
        <v>9004</v>
      </c>
      <c r="C60">
        <v>500</v>
      </c>
      <c r="D60">
        <v>45</v>
      </c>
      <c r="E60">
        <v>3.8</v>
      </c>
    </row>
    <row r="61" spans="1:5" x14ac:dyDescent="0.3">
      <c r="A61" s="4" t="s">
        <v>10</v>
      </c>
      <c r="B61">
        <v>9009</v>
      </c>
      <c r="C61">
        <v>410</v>
      </c>
      <c r="D61">
        <v>38</v>
      </c>
      <c r="E61">
        <v>3.9</v>
      </c>
    </row>
    <row r="62" spans="1:5" x14ac:dyDescent="0.3">
      <c r="A62" s="5" t="s">
        <v>21</v>
      </c>
      <c r="B62">
        <v>9009</v>
      </c>
      <c r="C62">
        <v>410</v>
      </c>
      <c r="D62">
        <v>38</v>
      </c>
      <c r="E62">
        <v>3.9</v>
      </c>
    </row>
    <row r="63" spans="1:5" x14ac:dyDescent="0.3">
      <c r="A63" s="2" t="s">
        <v>12</v>
      </c>
      <c r="B63">
        <v>18012</v>
      </c>
      <c r="C63">
        <v>970</v>
      </c>
      <c r="D63">
        <v>85</v>
      </c>
      <c r="E63">
        <v>7.6</v>
      </c>
    </row>
    <row r="64" spans="1:5" x14ac:dyDescent="0.3">
      <c r="A64" s="4" t="s">
        <v>7</v>
      </c>
      <c r="B64">
        <v>9007</v>
      </c>
      <c r="C64">
        <v>520</v>
      </c>
      <c r="D64">
        <v>50</v>
      </c>
      <c r="E64">
        <v>3.5</v>
      </c>
    </row>
    <row r="65" spans="1:5" x14ac:dyDescent="0.3">
      <c r="A65" s="5" t="s">
        <v>22</v>
      </c>
      <c r="B65">
        <v>9007</v>
      </c>
      <c r="C65">
        <v>520</v>
      </c>
      <c r="D65">
        <v>50</v>
      </c>
      <c r="E65">
        <v>3.5</v>
      </c>
    </row>
    <row r="66" spans="1:5" x14ac:dyDescent="0.3">
      <c r="A66" s="4" t="s">
        <v>9</v>
      </c>
      <c r="B66">
        <v>9005</v>
      </c>
      <c r="C66">
        <v>450</v>
      </c>
      <c r="D66">
        <v>35</v>
      </c>
      <c r="E66">
        <v>4.0999999999999996</v>
      </c>
    </row>
    <row r="67" spans="1:5" x14ac:dyDescent="0.3">
      <c r="A67" s="5" t="s">
        <v>21</v>
      </c>
      <c r="B67">
        <v>9005</v>
      </c>
      <c r="C67">
        <v>450</v>
      </c>
      <c r="D67">
        <v>35</v>
      </c>
      <c r="E67">
        <v>4.0999999999999996</v>
      </c>
    </row>
    <row r="68" spans="1:5" x14ac:dyDescent="0.3">
      <c r="A68" s="2" t="s">
        <v>17</v>
      </c>
      <c r="B68">
        <v>90055</v>
      </c>
      <c r="C68">
        <v>3980</v>
      </c>
      <c r="D68">
        <v>352</v>
      </c>
      <c r="E68">
        <v>41.300000000000004</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Dataset-day 1</vt:lpstr>
      <vt:lpstr>Removed duplicates-day 2</vt:lpstr>
      <vt:lpstr>Conditional formatting-day 3</vt:lpstr>
      <vt:lpstr>Pivot table-day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threaka M</dc:creator>
  <cp:lastModifiedBy>threaka M</cp:lastModifiedBy>
  <dcterms:created xsi:type="dcterms:W3CDTF">2026-02-10T07:54:13Z</dcterms:created>
  <dcterms:modified xsi:type="dcterms:W3CDTF">2026-02-12T12:30:51Z</dcterms:modified>
</cp:coreProperties>
</file>